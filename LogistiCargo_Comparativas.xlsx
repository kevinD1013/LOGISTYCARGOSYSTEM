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tout à toi\Downloads\"/>
    </mc:Choice>
  </mc:AlternateContent>
  <xr:revisionPtr revIDLastSave="0" documentId="13_ncr:1_{2F44525A-0FF5-4C84-88F4-D9F98AB80716}" xr6:coauthVersionLast="43" xr6:coauthVersionMax="43" xr10:uidLastSave="{00000000-0000-0000-0000-000000000000}"/>
  <bookViews>
    <workbookView xWindow="-120" yWindow="-120" windowWidth="24240" windowHeight="13020" tabRatio="500" firstSheet="3" activeTab="5" xr2:uid="{00000000-000D-0000-FFFF-FFFF00000000}"/>
  </bookViews>
  <sheets>
    <sheet name="INICIO" sheetId="1" r:id="rId1"/>
    <sheet name="1. Comparativo Hosting" sheetId="2" r:id="rId2"/>
    <sheet name="2. Comparativo Dominio" sheetId="3" r:id="rId3"/>
    <sheet name="3. Ficha Tecnica Software" sheetId="4" r:id="rId4"/>
    <sheet name="4. Ficha Tecnica Hardware" sheetId="5" r:id="rId5"/>
    <sheet name="5. Resumen Financiero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6" l="1"/>
  <c r="D28" i="6"/>
  <c r="F27" i="6"/>
  <c r="D27" i="6"/>
  <c r="F26" i="6"/>
  <c r="D26" i="6"/>
  <c r="F25" i="6"/>
  <c r="D25" i="6"/>
  <c r="F24" i="6"/>
  <c r="D24" i="6"/>
  <c r="H16" i="6"/>
  <c r="H17" i="6" s="1"/>
  <c r="H15" i="6"/>
  <c r="E10" i="5"/>
  <c r="E9" i="5"/>
  <c r="E7" i="5"/>
  <c r="E6" i="5"/>
  <c r="E13" i="5" s="1"/>
  <c r="H19" i="6" l="1"/>
  <c r="H20" i="6" s="1"/>
  <c r="E27" i="6"/>
  <c r="H27" i="6" s="1"/>
  <c r="E26" i="6"/>
  <c r="H26" i="6" s="1"/>
  <c r="E25" i="6"/>
  <c r="H25" i="6" s="1"/>
  <c r="E24" i="6"/>
  <c r="H18" i="6"/>
  <c r="E28" i="6" l="1"/>
  <c r="H24" i="6"/>
  <c r="H28" i="6" s="1"/>
  <c r="H32" i="6" s="1"/>
  <c r="H37" i="6" l="1"/>
  <c r="H43" i="6" s="1"/>
  <c r="H45" i="6" l="1"/>
  <c r="H38" i="6"/>
  <c r="H39" i="6" s="1"/>
  <c r="H44" i="6"/>
</calcChain>
</file>

<file path=xl/sharedStrings.xml><?xml version="1.0" encoding="utf-8"?>
<sst xmlns="http://schemas.openxmlformats.org/spreadsheetml/2006/main" count="288" uniqueCount="254">
  <si>
    <t>LOGISTICARGO SYSTEM</t>
  </si>
  <si>
    <t>Estudio de Costos e Infraestructura Tecnológica — Tablas Comparativas</t>
  </si>
  <si>
    <t>Grupo 4 — ADSO — SENA  ·  Bogotá, Colombia — Junio 2026</t>
  </si>
  <si>
    <t>Elaborado por:</t>
  </si>
  <si>
    <t>•  Kevin López</t>
  </si>
  <si>
    <t>•  Jannys Limas</t>
  </si>
  <si>
    <t>•  Juan Parra</t>
  </si>
  <si>
    <t>•  José Aristizábal</t>
  </si>
  <si>
    <t>1. Comparativo Hosting</t>
  </si>
  <si>
    <t>Hostinger vs GoDaddy vs HostGator — costo, almacenamiento, seguridad y servicios incluidos.</t>
  </si>
  <si>
    <t>2. Comparativo Dominio</t>
  </si>
  <si>
    <t>Hostinger vs Namecheap vs GoDaddy — costo de registro, renovación y servicios adicionales.</t>
  </si>
  <si>
    <t>3. Ficha Tecnica Software</t>
  </si>
  <si>
    <t>Stack tecnológico real del proyecto (HTML5, CSS3, JS, PHP, MySQL, Git, GitHub, VS Code) — 100% open source.</t>
  </si>
  <si>
    <t>4. Ficha Tecnica Hardware</t>
  </si>
  <si>
    <t>Equipos de cómputo y mobiliario ya disponibles del equipo — costo de adquisición $0 para el proyecto.</t>
  </si>
  <si>
    <t>5. Resumen Financiero</t>
  </si>
  <si>
    <t>Cálculo de recurso humano paso a paso, costos consolidados e imprevistos — Costo Total del Proyecto.</t>
  </si>
  <si>
    <t>Análisis comparativo · Planes básicos/económicos disponibles en Colombia · Precios consultados junio 2026</t>
  </si>
  <si>
    <t>CRITERIO</t>
  </si>
  <si>
    <t>HOSTINGER
(Plan Premium)</t>
  </si>
  <si>
    <t>GODADDY
(Plan Económico)</t>
  </si>
  <si>
    <t>HOSTGATOR
(Plan Emprendedor)</t>
  </si>
  <si>
    <t>GANADOR</t>
  </si>
  <si>
    <t>Precio mensual equivalente (plan)</t>
  </si>
  <si>
    <t>CO$ 8.900/mes
(pagando 48 meses de una vez)</t>
  </si>
  <si>
    <t>desde CO$ 32.999/mes</t>
  </si>
  <si>
    <t>CO$ 10.000/mes (pago anual)</t>
  </si>
  <si>
    <t>✓ HOSTINGER</t>
  </si>
  <si>
    <t>Precio anual aproximado</t>
  </si>
  <si>
    <t>CO$ 427.200 pago único
(cubre 48 meses)</t>
  </si>
  <si>
    <t>~CO$ 395.988/año
(12 × $32.999)</t>
  </si>
  <si>
    <t>~CO$ 120.000/año</t>
  </si>
  <si>
    <t>Precio mes a mes (sin compromiso)</t>
  </si>
  <si>
    <t>CO$ 39.900/mes</t>
  </si>
  <si>
    <t>CO$ 32.999/mes</t>
  </si>
  <si>
    <t>CO$ 10.000/mes (ya es con compromiso anual)</t>
  </si>
  <si>
    <t>✓ HOSTGATOR</t>
  </si>
  <si>
    <t>Precio de renovación aprox.</t>
  </si>
  <si>
    <t>CO$ 29.900/mes
(aumento controlado)</t>
  </si>
  <si>
    <t>CO$ 27.999/mes
(puede doblar el precio)</t>
  </si>
  <si>
    <t>CO$ 18.500/mes</t>
  </si>
  <si>
    <t>Almacenamiento SSD</t>
  </si>
  <si>
    <t>20 GB SSD NVMe</t>
  </si>
  <si>
    <t>Ilimitado (compartido)</t>
  </si>
  <si>
    <t>25 GB</t>
  </si>
  <si>
    <t>✓ GODADDY</t>
  </si>
  <si>
    <t>Certificado SSL</t>
  </si>
  <si>
    <t>Gratuito e incluido</t>
  </si>
  <si>
    <t>⚖ Empate</t>
  </si>
  <si>
    <t>Backups automáticos</t>
  </si>
  <si>
    <t>Semanales (Plan Premium)</t>
  </si>
  <si>
    <t>Con costo adicional</t>
  </si>
  <si>
    <t>Semanales</t>
  </si>
  <si>
    <t>✓ HOSTINGER / HOSTGATOR</t>
  </si>
  <si>
    <t>Dominio gratis</t>
  </si>
  <si>
    <t>Sí — 1 año gratis (Plan Premium)</t>
  </si>
  <si>
    <t>No en plan económico básico</t>
  </si>
  <si>
    <t>Sí — 1 año gratis</t>
  </si>
  <si>
    <t>PHP + MySQL incluido</t>
  </si>
  <si>
    <t>Sí</t>
  </si>
  <si>
    <t>Panel de control</t>
  </si>
  <si>
    <t>hPanel (propio, en español)</t>
  </si>
  <si>
    <t>cPanel</t>
  </si>
  <si>
    <t>Soporte 24/7 en español</t>
  </si>
  <si>
    <t>Chat en vivo</t>
  </si>
  <si>
    <t>Chat, teléfono, SMS</t>
  </si>
  <si>
    <t>Chat y ticket</t>
  </si>
  <si>
    <t>✅ PROVEEDOR SELECCIONADO PARA EL PROYECTO: HOSTINGER (PLAN PREMIUM)</t>
  </si>
  <si>
    <t>Justificación: mejor relación calidad-precio para Colombia en 2026. Incluye PHP + MySQL (tecnologías reales del proyecto), SSL gratuito, dominio incluido el primer año y soporte 24/7 en español. Costo real: CO$ 427.200 pago único que cubre 48 meses (el proyecto dura 10 meses; el resto queda disponible para Mudanzas Sharon tras la entrega).</t>
  </si>
  <si>
    <t>Fuentes consultadas (junio 2026):</t>
  </si>
  <si>
    <t>• Hostinger CO: https://www.hostinger.com/co/hosting-web</t>
  </si>
  <si>
    <t>• GoDaddy CO: https://www.godaddy.com/resources/latam/desarrollo/compara-proveedores-colombia-hosting</t>
  </si>
  <si>
    <t>• HostGator (referencia comparativa): https://markethax.com/mejores-hosting-colombia/</t>
  </si>
  <si>
    <t>• Referencia de precios 2026: https://www.colombiacloud.co/cuanto-cuesta-hosting-colombia-2026/</t>
  </si>
  <si>
    <t>Análisis comparativo · Dominio .com · Precios consultados junio 2026</t>
  </si>
  <si>
    <t>HOSTINGER</t>
  </si>
  <si>
    <t>NAMECHEAP</t>
  </si>
  <si>
    <t>GODADDY</t>
  </si>
  <si>
    <t>Precio registro .com (año 1)</t>
  </si>
  <si>
    <t>INCLUIDO gratis
(con Plan Premium)</t>
  </si>
  <si>
    <t>~US$11.48/año
(≈ CO$ 46.000)</t>
  </si>
  <si>
    <t>CO$ 84.999/año
($1 si se pagan 3 años de una vez)</t>
  </si>
  <si>
    <t>Precio renovación .com (año 2+)</t>
  </si>
  <si>
    <t>~CO$ 45.000/año</t>
  </si>
  <si>
    <t>~US$18.68/año
(≈ CO$ 75.000)</t>
  </si>
  <si>
    <t>~CO$ 90.000-100.000/año (variable)</t>
  </si>
  <si>
    <t>Pago en pesos colombianos</t>
  </si>
  <si>
    <t>No (solo USD)</t>
  </si>
  <si>
    <t>✓ HOSTINGER / GODADDY</t>
  </si>
  <si>
    <t>Privacidad WHOIS</t>
  </si>
  <si>
    <t>Incluida</t>
  </si>
  <si>
    <t>Con costo adicional (~$9.99/año)</t>
  </si>
  <si>
    <t>Integración con hosting</t>
  </si>
  <si>
    <t>Total (mismo panel)</t>
  </si>
  <si>
    <t>Requiere configuración DNS</t>
  </si>
  <si>
    <t>Parcial</t>
  </si>
  <si>
    <t>✅ DOMINIO Y PROVEEDOR SELECCIONADO: logisticargosystem.com — HOSTINGER</t>
  </si>
  <si>
    <t>Justificación: el dominio queda incluido gratis el primer año al contratar el Plan Premium de Hostinger, con pago en pesos colombianos e integración total con el panel de hosting (sin configuración DNS adicional). Se recomienda informar a Mudanzas Sharon que a partir del segundo año el dominio tendrá un costo de renovación estimado entre $45.000 y $90.000 COP/año.</t>
  </si>
  <si>
    <t>• Hostinger dominio: https://www.hostinger.com/co/comprar-dominio</t>
  </si>
  <si>
    <t>• Namecheap: https://www.namecheap.com/domains/</t>
  </si>
  <si>
    <t>• GoDaddy dominio: https://www.godaddy.com/resources/latam/stories/descubre-el-mejor-sitio-de-dominios-de-colombia</t>
  </si>
  <si>
    <t>Todas las tecnologías utilizadas son gratuitas y de código abierto (open source)</t>
  </si>
  <si>
    <t>SOFTWARE</t>
  </si>
  <si>
    <t>TIPO / USO</t>
  </si>
  <si>
    <t>LICENCIA</t>
  </si>
  <si>
    <t>COSTO</t>
  </si>
  <si>
    <t>FUENTE OFICIAL</t>
  </si>
  <si>
    <t>HTML5</t>
  </si>
  <si>
    <t>Lenguaje de marcado para estructura de páginas web (frontend)</t>
  </si>
  <si>
    <t>Estándar abierto W3C — Sin licencia requerida</t>
  </si>
  <si>
    <t>$0</t>
  </si>
  <si>
    <t>https://www.w3.org/standards/webdesign/htmlcss</t>
  </si>
  <si>
    <t>CSS3</t>
  </si>
  <si>
    <t>Lenguaje de estilos visuales para las páginas web (frontend)</t>
  </si>
  <si>
    <t>https://www.w3.org/Style/CSS/</t>
  </si>
  <si>
    <t>JavaScript (ES6+)</t>
  </si>
  <si>
    <t>Lenguaje de programación para interactividad del lado del cliente</t>
  </si>
  <si>
    <t>Estándar abierto ECMAScript — Sin licencia requerida</t>
  </si>
  <si>
    <t>https://www.ecma-international.org/publications-and-standards/standards/ecma-262/</t>
  </si>
  <si>
    <t>PHP 8.x</t>
  </si>
  <si>
    <t>Lenguaje de programación del lado del servidor (backend) para la lógica de negocio</t>
  </si>
  <si>
    <t>PHP License v3.01 — Uso gratuito, libre y open source</t>
  </si>
  <si>
    <t>https://www.php.net/license/</t>
  </si>
  <si>
    <t>MySQL 8.x</t>
  </si>
  <si>
    <t>Motor de base de datos relacional para almacenar los datos del sistema</t>
  </si>
  <si>
    <t>GPL v2 (Community Edition) — Gratuito para proyectos open source y académicos</t>
  </si>
  <si>
    <t>https://www.mysql.com/products/community/</t>
  </si>
  <si>
    <t>Git 2.x</t>
  </si>
  <si>
    <t>Sistema de control de versiones distribuido para gestionar el código fuente del equipo</t>
  </si>
  <si>
    <t>GNU GPL v2 — Completamente gratuito y open source</t>
  </si>
  <si>
    <t>https://git-scm.com/about/free-and-open-source</t>
  </si>
  <si>
    <t>GitHub (plan Free)</t>
  </si>
  <si>
    <t>Plataforma en la nube para alojar el repositorio y colaborar en equipo</t>
  </si>
  <si>
    <t>Plan gratuito de GitHub — Repositorios ilimitados, sin costo</t>
  </si>
  <si>
    <t>https://github.com/pricing</t>
  </si>
  <si>
    <t>Visual Studio Code</t>
  </si>
  <si>
    <t>Editor de código fuente utilizado por todos los integrantes del equipo</t>
  </si>
  <si>
    <t>MIT License — Open source y gratuito de Microsoft</t>
  </si>
  <si>
    <t>https://code.visualstudio.com/License/</t>
  </si>
  <si>
    <t>TOTAL LICENCIAS DE SOFTWARE: 8 herramientas — TODAS GRATUITAS — COSTO TOTAL: $0 COP</t>
  </si>
  <si>
    <t>Nota: el documento de propuesta técnica anterior proponía un stack distinto (React.js, Node.js, Django, PostgreSQL) que no corresponde a las tecnologías reales que domina el equipo. Esta ficha refleja el stack real del proyecto: HTML5, CSS3, JavaScript, PHP y MySQL, todas herramientas open source verificadas en sus sitios oficiales, sin costo de licencia.</t>
  </si>
  <si>
    <t>Equipos ya disponibles del equipo · Valor referencial de mercado (NO es un gasto del proyecto)</t>
  </si>
  <si>
    <t>NOTA IMPORTANTE: Estos equipos ya son propiedad del equipo. Su costo de adquisición es $0 para el proyecto. El valor referencial se muestra únicamente como referencia del activo, no como gasto del proyecto.</t>
  </si>
  <si>
    <t>ÍTEM</t>
  </si>
  <si>
    <t>ESPECIFICACIONES</t>
  </si>
  <si>
    <t>CANTIDAD</t>
  </si>
  <si>
    <t>VALOR UNITARIO (COP)</t>
  </si>
  <si>
    <t>VALOR TOTAL (COP)</t>
  </si>
  <si>
    <t>Portátil gama media (Lenovo IdeaPad o similar)</t>
  </si>
  <si>
    <t>Intel Core i5 / AMD Ryzen 5, 8 GB RAM, 256 GB SSD, Pantalla 15.6", Windows 11 Home</t>
  </si>
  <si>
    <t>Computador de escritorio gama media (HP o similar)</t>
  </si>
  <si>
    <t>Intel Core i5, 8 GB RAM, 500 GB HDD, Monitor 21.5", Windows 11 Home</t>
  </si>
  <si>
    <t>Mesa de trabajo</t>
  </si>
  <si>
    <t>Mesa de escritorio estándar para oficina, superficie mínima 120 cm x 60 cm</t>
  </si>
  <si>
    <t>Silla de trabajo</t>
  </si>
  <si>
    <t>Silla ergonómica de oficina con apoyo lumbar</t>
  </si>
  <si>
    <t>Conexión a Internet</t>
  </si>
  <si>
    <t>300 Mbps fibra óptica — Plan hogar/empresa compartida</t>
  </si>
  <si>
    <t>1 plan</t>
  </si>
  <si>
    <t>~$60.000/mes</t>
  </si>
  <si>
    <t>Ya disponible (no aplica al total)</t>
  </si>
  <si>
    <t>TOTAL ACTIVOS DISPONIBLES (valor referencial — NO es gasto del proyecto)</t>
  </si>
  <si>
    <t>COSTO REAL PARA EL PROYECTO (equipos ya disponibles)</t>
  </si>
  <si>
    <t>• Portátiles: https://www.alkosto.com/computadores-tablet/computadores-portatiles/c/BI_104_ALKOS</t>
  </si>
  <si>
    <t>• Escritorios: https://www.alkosto.com/computadores-tablet/computadores-escritorio-all-in-one/c/BI_105_ALKOS</t>
  </si>
  <si>
    <t>• Sillas/mesas: https://www.homecenter.com.co/homecenter-co/landing/cat10320/Muebles-de-Oficina-y-Escritorio/</t>
  </si>
  <si>
    <t>Duración del proyecto: 10 meses · Equipo: 4 aprendices ADSO - SENA · Todos los valores en COP</t>
  </si>
  <si>
    <t>Parámetro</t>
  </si>
  <si>
    <t>Valor</t>
  </si>
  <si>
    <t>Explicación</t>
  </si>
  <si>
    <t>Número de integrantes</t>
  </si>
  <si>
    <t>Kevin López, Jannys Limas, Juan Parra, José Aristizábal</t>
  </si>
  <si>
    <t>Duración del proyecto (meses)</t>
  </si>
  <si>
    <t>Duración total establecida para el proyecto</t>
  </si>
  <si>
    <t>Sesiones por semana</t>
  </si>
  <si>
    <t>Se trabaja 2 veces por semana</t>
  </si>
  <si>
    <t>Horas por sesión</t>
  </si>
  <si>
    <t>Cada sesión dura 4 horas efectivas</t>
  </si>
  <si>
    <t>Semanas promedio por mes</t>
  </si>
  <si>
    <t>Constante estándar de conversión mes → semanas</t>
  </si>
  <si>
    <t>Valor hora aprendiz ADSO</t>
  </si>
  <si>
    <t>Tarifa académica aprendiz ADSO en etapa lectiva (NO es tarifa comercial), en COP</t>
  </si>
  <si>
    <t>🧮 CÁLCULO PASO A PASO DEL RECURSO HUMANO</t>
  </si>
  <si>
    <t>Paso</t>
  </si>
  <si>
    <t>Fórmula aplicada</t>
  </si>
  <si>
    <t>Resultado</t>
  </si>
  <si>
    <t>1. Horas/semana por integrante</t>
  </si>
  <si>
    <t>Sesiones/semana × Horas/sesión</t>
  </si>
  <si>
    <t>2. Semanas totales en el proyecto</t>
  </si>
  <si>
    <t>Meses × Semanas promedio por mes</t>
  </si>
  <si>
    <t>3. Total horas por integrante</t>
  </si>
  <si>
    <t>Horas/semana × Semanas totales</t>
  </si>
  <si>
    <t>4. Total horas del equipo completo</t>
  </si>
  <si>
    <t>Horas/integrante × N.º integrantes</t>
  </si>
  <si>
    <t>5. Costo por integrante</t>
  </si>
  <si>
    <t>Horas/integrante × Valor hora</t>
  </si>
  <si>
    <t>6. Costo total del equipo (Recurso Humano)</t>
  </si>
  <si>
    <t>Costo/integrante × N.º integrantes</t>
  </si>
  <si>
    <t>👥 RECURSO HUMANO — DETALLE POR INTEGRANTE</t>
  </si>
  <si>
    <t>Integrante</t>
  </si>
  <si>
    <t>Rol</t>
  </si>
  <si>
    <t>Horas/semana</t>
  </si>
  <si>
    <t>Total horas
(10 meses)</t>
  </si>
  <si>
    <t>Valor/hora</t>
  </si>
  <si>
    <t>Costo total</t>
  </si>
  <si>
    <t>Kevin López</t>
  </si>
  <si>
    <t>Líder / Analista</t>
  </si>
  <si>
    <t>Jannys Limas</t>
  </si>
  <si>
    <t>Diseñadora UX</t>
  </si>
  <si>
    <t>Juan Parra</t>
  </si>
  <si>
    <t>Desarrollador Backend</t>
  </si>
  <si>
    <t>José Aristizábal</t>
  </si>
  <si>
    <t>Desarrollador Frontend / Tester</t>
  </si>
  <si>
    <t>TOTALES</t>
  </si>
  <si>
    <t>4 roles cubiertos</t>
  </si>
  <si>
    <t>Categoría de costo</t>
  </si>
  <si>
    <t>Descripción</t>
  </si>
  <si>
    <t>Total COP</t>
  </si>
  <si>
    <t>Recurso Humano</t>
  </si>
  <si>
    <t>4 aprendices × 344 horas × $4.980/hora (ver detalle por integrante arriba)</t>
  </si>
  <si>
    <t>Costos Tecnológicos</t>
  </si>
  <si>
    <t>Hosting Hostinger Premium, pago único que cubre 48 meses (dominio año 1, SSL, PHP+MySQL incluidos) — ver hoja "1. Comparativo Hosting"</t>
  </si>
  <si>
    <t>Costos Indirectos</t>
  </si>
  <si>
    <t>Energía eléctrica estimada ($250.000) + papelería ($100.000) + transporte a reuniones ($200.000) — 10 meses</t>
  </si>
  <si>
    <t>Hardware (equipos)</t>
  </si>
  <si>
    <t>2 portátiles + 2 computadores + 2 mesas + 2 sillas — YA DISPONIBLES (ver hoja "4. Ficha Tecnica Hardware")</t>
  </si>
  <si>
    <t>Licencias de software</t>
  </si>
  <si>
    <t>8 herramientas open source — todas gratuitas (ver hoja "3. Ficha Tecnica Software")</t>
  </si>
  <si>
    <t>SUBTOTAL DEL PROYECTO</t>
  </si>
  <si>
    <t>Suma de todos los costos identificados</t>
  </si>
  <si>
    <t>Imprevistos (5%)</t>
  </si>
  <si>
    <t>Reserva para gastos no previstos (retraso de servidor, servicio adicional, etc.) — 5% del subtotal</t>
  </si>
  <si>
    <t>COSTO TOTAL DEL PROYECTO</t>
  </si>
  <si>
    <t>LOGISTICARGO SYSTEM — Duración 10 meses — 4 aprendices ADSO</t>
  </si>
  <si>
    <t>Componente</t>
  </si>
  <si>
    <t>% del Subtotal</t>
  </si>
  <si>
    <t xml:space="preserve"> FICHA TÉCNICA — SOFTWARE DEL PROYECTO (STACK REAL DEL EQUIPO)</t>
  </si>
  <si>
    <t xml:space="preserve">  FICHA TÉCNICA — HARDWARE DEL PROYECTO</t>
  </si>
  <si>
    <t xml:space="preserve"> RESUMEN FINANCIERO Y COSTO TOTAL DEL PROYECTO — LOGISTICARGO SYSTEM</t>
  </si>
  <si>
    <t xml:space="preserve">  COMPARACIÓN DE PROVEEDORES DE HOSTING — LOGISTICARGO SYSTEM</t>
  </si>
  <si>
    <t xml:space="preserve"> COSTO</t>
  </si>
  <si>
    <t xml:space="preserve"> ALMACENAMIENTO Y SEGURIDAD</t>
  </si>
  <si>
    <t xml:space="preserve"> SERVICIOS INCLUIDOS</t>
  </si>
  <si>
    <t xml:space="preserve">  COMPARACIÓN DE PROVEEDORES DE DOMINIO — logisticargosystem.com</t>
  </si>
  <si>
    <t xml:space="preserve"> SERVICIOS ADICIONALES</t>
  </si>
  <si>
    <t xml:space="preserve"> EQUIPOS DE CÓMPUTO</t>
  </si>
  <si>
    <t xml:space="preserve"> MOBILIARIO</t>
  </si>
  <si>
    <t xml:space="preserve"> CONECTIVIDAD (servicio ya pagado — no se incluye en el subtotal de activos)</t>
  </si>
  <si>
    <t xml:space="preserve"> PARÁMETROS BASE DEL CÁLCULO (RECURSO HUMANO)</t>
  </si>
  <si>
    <t xml:space="preserve"> RESUMEN FINANCIERO CONSOLIDADO</t>
  </si>
  <si>
    <t xml:space="preserve"> PARTICIPACIÓN DE CADA COMPONENTE EN EL SUBTOTAL</t>
  </si>
  <si>
    <t xml:space="preserve"> Empate</t>
  </si>
  <si>
    <t xml:space="preserve"> CONTENIDO DEL ARCHIVO — NAVEGUE POR LAS PESTAÑAS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</si>
</sst>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#,##0.0"/>
    <numFmt numFmtId="166" formatCode="\$#,##0;&quot;($&quot;#,##0\);\-"/>
    <numFmt numFmtId="167" formatCode="0.0%"/>
  </numFmts>
  <fonts count="26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3"/>
      <color rgb="FFFFFFFF"/>
      <name val="Arial"/>
      <charset val="1"/>
    </font>
    <font>
      <b/>
      <sz val="10.5"/>
      <color rgb="FFFFFFFF"/>
      <name val="Arial"/>
      <charset val="1"/>
    </font>
    <font>
      <b/>
      <sz val="11"/>
      <name val="Arial"/>
      <charset val="1"/>
    </font>
    <font>
      <sz val="10.5"/>
      <name val="Arial"/>
      <charset val="1"/>
    </font>
    <font>
      <b/>
      <sz val="11"/>
      <color rgb="FF1A1A1A"/>
      <name val="Arial"/>
      <charset val="1"/>
    </font>
    <font>
      <b/>
      <sz val="11"/>
      <color rgb="FF1F4E79"/>
      <name val="Arial"/>
      <charset val="1"/>
    </font>
    <font>
      <i/>
      <sz val="9.5"/>
      <color rgb="FF555555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b/>
      <sz val="10.5"/>
      <color rgb="FF1E7B34"/>
      <name val="Arial"/>
      <charset val="1"/>
    </font>
    <font>
      <b/>
      <i/>
      <sz val="10.5"/>
      <color rgb="FF7F6000"/>
      <name val="Arial"/>
      <charset val="1"/>
    </font>
    <font>
      <b/>
      <sz val="12"/>
      <color rgb="FFFFFFFF"/>
      <name val="Arial"/>
      <charset val="1"/>
    </font>
    <font>
      <i/>
      <sz val="10"/>
      <color rgb="FF1A1A1A"/>
      <name val="Arial"/>
      <charset val="1"/>
    </font>
    <font>
      <b/>
      <sz val="9.5"/>
      <color rgb="FFC00000"/>
      <name val="Arial"/>
      <charset val="1"/>
    </font>
    <font>
      <i/>
      <sz val="9"/>
      <color rgb="FF555555"/>
      <name val="Arial"/>
      <charset val="1"/>
    </font>
    <font>
      <b/>
      <sz val="11.5"/>
      <color rgb="FFFFFFFF"/>
      <name val="Arial"/>
      <charset val="1"/>
    </font>
    <font>
      <b/>
      <i/>
      <sz val="9.5"/>
      <color rgb="FFC00000"/>
      <name val="Arial"/>
      <charset val="1"/>
    </font>
    <font>
      <b/>
      <sz val="14"/>
      <color rgb="FFFFFFFF"/>
      <name val="Arial"/>
      <charset val="1"/>
    </font>
    <font>
      <b/>
      <sz val="10.5"/>
      <color rgb="FF0000FF"/>
      <name val="Arial"/>
      <charset val="1"/>
    </font>
    <font>
      <b/>
      <sz val="10"/>
      <name val="Arial"/>
      <charset val="1"/>
    </font>
    <font>
      <i/>
      <sz val="10"/>
      <color rgb="FF555555"/>
      <name val="Arial"/>
      <charset val="1"/>
    </font>
    <font>
      <b/>
      <sz val="11"/>
      <color rgb="FF000000"/>
      <name val="Arial"/>
      <charset val="1"/>
    </font>
    <font>
      <b/>
      <sz val="12.5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B4A7D6"/>
        <bgColor rgb="FFB7B7B7"/>
      </patternFill>
    </fill>
    <fill>
      <patternFill patternType="solid">
        <fgColor rgb="FF1E7B34"/>
        <bgColor rgb="FF008080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0" fillId="7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 wrapText="1" indent="1"/>
    </xf>
    <xf numFmtId="0" fontId="18" fillId="6" borderId="1" xfId="0" applyFont="1" applyFill="1" applyBorder="1" applyAlignment="1">
      <alignment horizontal="center" vertical="center"/>
    </xf>
    <xf numFmtId="0" fontId="17" fillId="0" borderId="0" xfId="0" applyFont="1" applyBorder="1"/>
    <xf numFmtId="0" fontId="15" fillId="8" borderId="1" xfId="0" applyFont="1" applyFill="1" applyBorder="1" applyAlignment="1">
      <alignment horizontal="left" vertical="center" wrapText="1" indent="1"/>
    </xf>
    <xf numFmtId="0" fontId="14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5" fillId="0" borderId="0" xfId="0" applyFont="1" applyBorder="1"/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indent="1"/>
    </xf>
    <xf numFmtId="0" fontId="8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6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164" fontId="14" fillId="7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164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165" fontId="24" fillId="0" borderId="1" xfId="0" applyNumberFormat="1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4" fontId="24" fillId="9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165" fontId="3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 indent="1"/>
    </xf>
    <xf numFmtId="164" fontId="4" fillId="9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 wrapText="1" indent="1"/>
    </xf>
    <xf numFmtId="164" fontId="25" fillId="6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164" fontId="3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indent="1"/>
    </xf>
    <xf numFmtId="0" fontId="25" fillId="6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7F6000"/>
      <rgbColor rgb="FF800080"/>
      <rgbColor rgb="FF008080"/>
      <rgbColor rgb="FFB7B7B7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B4A7D6"/>
      <rgbColor rgb="FFFFD96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9"/>
  <sheetViews>
    <sheetView showGridLines="0" topLeftCell="A10" zoomScaleNormal="100" workbookViewId="0">
      <selection activeCell="B20" sqref="B20"/>
    </sheetView>
  </sheetViews>
  <sheetFormatPr baseColWidth="10" defaultColWidth="8.7109375" defaultRowHeight="15" x14ac:dyDescent="0.25"/>
  <cols>
    <col min="1" max="1" width="6" customWidth="1"/>
    <col min="2" max="2" width="50" customWidth="1"/>
    <col min="3" max="3" width="60" customWidth="1"/>
    <col min="4" max="4" width="6" customWidth="1"/>
  </cols>
  <sheetData>
    <row r="2" spans="2:3" ht="45.75" customHeight="1" x14ac:dyDescent="0.25">
      <c r="B2" s="13" t="s">
        <v>0</v>
      </c>
      <c r="C2" s="13"/>
    </row>
    <row r="3" spans="2:3" ht="27.75" customHeight="1" x14ac:dyDescent="0.25">
      <c r="B3" s="12" t="s">
        <v>1</v>
      </c>
      <c r="C3" s="12"/>
    </row>
    <row r="4" spans="2:3" ht="21.75" customHeight="1" x14ac:dyDescent="0.25">
      <c r="B4" s="11" t="s">
        <v>2</v>
      </c>
      <c r="C4" s="11"/>
    </row>
    <row r="6" spans="2:3" x14ac:dyDescent="0.25">
      <c r="B6" s="10" t="s">
        <v>3</v>
      </c>
      <c r="C6" s="10"/>
    </row>
    <row r="7" spans="2:3" x14ac:dyDescent="0.25">
      <c r="B7" s="9" t="s">
        <v>4</v>
      </c>
      <c r="C7" s="9"/>
    </row>
    <row r="8" spans="2:3" x14ac:dyDescent="0.25">
      <c r="B8" s="9" t="s">
        <v>5</v>
      </c>
      <c r="C8" s="9"/>
    </row>
    <row r="9" spans="2:3" x14ac:dyDescent="0.25">
      <c r="B9" s="9" t="s">
        <v>6</v>
      </c>
      <c r="C9" s="9"/>
    </row>
    <row r="10" spans="2:3" x14ac:dyDescent="0.25">
      <c r="B10" s="9" t="s">
        <v>7</v>
      </c>
      <c r="C10" s="9"/>
    </row>
    <row r="12" spans="2:3" ht="21.75" customHeight="1" x14ac:dyDescent="0.25">
      <c r="B12" s="8" t="s">
        <v>253</v>
      </c>
      <c r="C12" s="8"/>
    </row>
    <row r="13" spans="2:3" ht="33.75" customHeight="1" x14ac:dyDescent="0.25">
      <c r="B13" s="14" t="s">
        <v>8</v>
      </c>
      <c r="C13" s="15" t="s">
        <v>9</v>
      </c>
    </row>
    <row r="14" spans="2:3" ht="33.75" customHeight="1" x14ac:dyDescent="0.25">
      <c r="B14" s="14" t="s">
        <v>10</v>
      </c>
      <c r="C14" s="15" t="s">
        <v>11</v>
      </c>
    </row>
    <row r="15" spans="2:3" ht="33.75" customHeight="1" x14ac:dyDescent="0.25">
      <c r="B15" s="14" t="s">
        <v>12</v>
      </c>
      <c r="C15" s="15" t="s">
        <v>13</v>
      </c>
    </row>
    <row r="16" spans="2:3" ht="33.75" customHeight="1" x14ac:dyDescent="0.25">
      <c r="B16" s="14" t="s">
        <v>14</v>
      </c>
      <c r="C16" s="15" t="s">
        <v>15</v>
      </c>
    </row>
    <row r="17" spans="2:3" ht="33.75" customHeight="1" x14ac:dyDescent="0.25">
      <c r="B17" s="14" t="s">
        <v>16</v>
      </c>
      <c r="C17" s="15" t="s">
        <v>17</v>
      </c>
    </row>
    <row r="19" spans="2:3" ht="25.5" customHeight="1" x14ac:dyDescent="0.25"/>
  </sheetData>
  <mergeCells count="9">
    <mergeCell ref="B8:C8"/>
    <mergeCell ref="B9:C9"/>
    <mergeCell ref="B10:C10"/>
    <mergeCell ref="B12:C12"/>
    <mergeCell ref="B2:C2"/>
    <mergeCell ref="B3:C3"/>
    <mergeCell ref="B4:C4"/>
    <mergeCell ref="B6:C6"/>
    <mergeCell ref="B7:C7"/>
  </mergeCells>
  <pageMargins left="0.3" right="0.3" top="0.4" bottom="0.4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E27"/>
  <sheetViews>
    <sheetView zoomScaleNormal="100" workbookViewId="0">
      <pane ySplit="4" topLeftCell="A23" activePane="bottomLeft" state="frozen"/>
      <selection pane="bottomLeft" activeCell="C15" sqref="C15"/>
    </sheetView>
  </sheetViews>
  <sheetFormatPr baseColWidth="10" defaultColWidth="8.7109375" defaultRowHeight="15" x14ac:dyDescent="0.25"/>
  <cols>
    <col min="1" max="1" width="30" customWidth="1"/>
    <col min="2" max="4" width="26" customWidth="1"/>
    <col min="5" max="5" width="20" customWidth="1"/>
  </cols>
  <sheetData>
    <row r="1" spans="1:5" ht="25.5" customHeight="1" x14ac:dyDescent="0.25">
      <c r="A1" s="12" t="s">
        <v>240</v>
      </c>
      <c r="B1" s="12"/>
      <c r="C1" s="12"/>
      <c r="D1" s="12"/>
      <c r="E1" s="12"/>
    </row>
    <row r="2" spans="1:5" ht="19.5" customHeight="1" x14ac:dyDescent="0.25">
      <c r="A2" s="7" t="s">
        <v>18</v>
      </c>
      <c r="B2" s="7"/>
      <c r="C2" s="7"/>
      <c r="D2" s="7"/>
      <c r="E2" s="7"/>
    </row>
    <row r="4" spans="1:5" ht="31.5" customHeight="1" x14ac:dyDescent="0.25">
      <c r="A4" s="16" t="s">
        <v>19</v>
      </c>
      <c r="B4" s="16" t="s">
        <v>20</v>
      </c>
      <c r="C4" s="16" t="s">
        <v>21</v>
      </c>
      <c r="D4" s="16" t="s">
        <v>22</v>
      </c>
      <c r="E4" s="16" t="s">
        <v>23</v>
      </c>
    </row>
    <row r="5" spans="1:5" ht="21.75" customHeight="1" x14ac:dyDescent="0.25">
      <c r="A5" s="8" t="s">
        <v>241</v>
      </c>
      <c r="B5" s="8"/>
      <c r="C5" s="8"/>
      <c r="D5" s="8"/>
      <c r="E5" s="8"/>
    </row>
    <row r="6" spans="1:5" ht="33.75" customHeight="1" x14ac:dyDescent="0.25">
      <c r="A6" s="17" t="s">
        <v>24</v>
      </c>
      <c r="B6" s="18" t="s">
        <v>25</v>
      </c>
      <c r="C6" s="18" t="s">
        <v>26</v>
      </c>
      <c r="D6" s="18" t="s">
        <v>27</v>
      </c>
      <c r="E6" s="19" t="s">
        <v>28</v>
      </c>
    </row>
    <row r="7" spans="1:5" ht="33.75" customHeight="1" x14ac:dyDescent="0.25">
      <c r="A7" s="17" t="s">
        <v>29</v>
      </c>
      <c r="B7" s="18" t="s">
        <v>30</v>
      </c>
      <c r="C7" s="18" t="s">
        <v>31</v>
      </c>
      <c r="D7" s="18" t="s">
        <v>32</v>
      </c>
      <c r="E7" s="19" t="s">
        <v>28</v>
      </c>
    </row>
    <row r="8" spans="1:5" ht="33.75" customHeight="1" x14ac:dyDescent="0.25">
      <c r="A8" s="17" t="s">
        <v>33</v>
      </c>
      <c r="B8" s="18" t="s">
        <v>34</v>
      </c>
      <c r="C8" s="18" t="s">
        <v>35</v>
      </c>
      <c r="D8" s="18" t="s">
        <v>36</v>
      </c>
      <c r="E8" s="19" t="s">
        <v>37</v>
      </c>
    </row>
    <row r="9" spans="1:5" ht="33.75" customHeight="1" x14ac:dyDescent="0.25">
      <c r="A9" s="17" t="s">
        <v>38</v>
      </c>
      <c r="B9" s="18" t="s">
        <v>39</v>
      </c>
      <c r="C9" s="18" t="s">
        <v>40</v>
      </c>
      <c r="D9" s="18" t="s">
        <v>41</v>
      </c>
      <c r="E9" s="19" t="s">
        <v>37</v>
      </c>
    </row>
    <row r="10" spans="1:5" ht="21.75" customHeight="1" x14ac:dyDescent="0.25">
      <c r="A10" s="8" t="s">
        <v>242</v>
      </c>
      <c r="B10" s="8"/>
      <c r="C10" s="8"/>
      <c r="D10" s="8"/>
      <c r="E10" s="8"/>
    </row>
    <row r="11" spans="1:5" ht="30" customHeight="1" x14ac:dyDescent="0.25">
      <c r="A11" s="17" t="s">
        <v>42</v>
      </c>
      <c r="B11" s="18" t="s">
        <v>43</v>
      </c>
      <c r="C11" s="18" t="s">
        <v>44</v>
      </c>
      <c r="D11" s="18" t="s">
        <v>45</v>
      </c>
      <c r="E11" s="19" t="s">
        <v>46</v>
      </c>
    </row>
    <row r="12" spans="1:5" ht="30" customHeight="1" x14ac:dyDescent="0.25">
      <c r="A12" s="17" t="s">
        <v>47</v>
      </c>
      <c r="B12" s="18" t="s">
        <v>48</v>
      </c>
      <c r="C12" s="18" t="s">
        <v>48</v>
      </c>
      <c r="D12" s="18" t="s">
        <v>48</v>
      </c>
      <c r="E12" s="20" t="s">
        <v>49</v>
      </c>
    </row>
    <row r="13" spans="1:5" ht="30" customHeight="1" x14ac:dyDescent="0.25">
      <c r="A13" s="17" t="s">
        <v>50</v>
      </c>
      <c r="B13" s="18" t="s">
        <v>51</v>
      </c>
      <c r="C13" s="18" t="s">
        <v>52</v>
      </c>
      <c r="D13" s="18" t="s">
        <v>53</v>
      </c>
      <c r="E13" s="19" t="s">
        <v>54</v>
      </c>
    </row>
    <row r="14" spans="1:5" ht="21.75" customHeight="1" x14ac:dyDescent="0.25">
      <c r="A14" s="8" t="s">
        <v>243</v>
      </c>
      <c r="B14" s="8"/>
      <c r="C14" s="8"/>
      <c r="D14" s="8"/>
      <c r="E14" s="8"/>
    </row>
    <row r="15" spans="1:5" ht="30" customHeight="1" x14ac:dyDescent="0.25">
      <c r="A15" s="17" t="s">
        <v>55</v>
      </c>
      <c r="B15" s="18" t="s">
        <v>56</v>
      </c>
      <c r="C15" s="18" t="s">
        <v>57</v>
      </c>
      <c r="D15" s="18" t="s">
        <v>58</v>
      </c>
      <c r="E15" s="19" t="s">
        <v>54</v>
      </c>
    </row>
    <row r="16" spans="1:5" ht="30" customHeight="1" x14ac:dyDescent="0.25">
      <c r="A16" s="17" t="s">
        <v>59</v>
      </c>
      <c r="B16" s="18" t="s">
        <v>60</v>
      </c>
      <c r="C16" s="18" t="s">
        <v>60</v>
      </c>
      <c r="D16" s="18" t="s">
        <v>60</v>
      </c>
      <c r="E16" s="20" t="s">
        <v>252</v>
      </c>
    </row>
    <row r="17" spans="1:5" ht="30" customHeight="1" x14ac:dyDescent="0.25">
      <c r="A17" s="17" t="s">
        <v>61</v>
      </c>
      <c r="B17" s="18" t="s">
        <v>62</v>
      </c>
      <c r="C17" s="18" t="s">
        <v>63</v>
      </c>
      <c r="D17" s="18" t="s">
        <v>63</v>
      </c>
      <c r="E17" s="19" t="s">
        <v>28</v>
      </c>
    </row>
    <row r="18" spans="1:5" ht="30" customHeight="1" x14ac:dyDescent="0.25">
      <c r="A18" s="17" t="s">
        <v>64</v>
      </c>
      <c r="B18" s="18" t="s">
        <v>65</v>
      </c>
      <c r="C18" s="18" t="s">
        <v>66</v>
      </c>
      <c r="D18" s="18" t="s">
        <v>67</v>
      </c>
      <c r="E18" s="19" t="s">
        <v>46</v>
      </c>
    </row>
    <row r="20" spans="1:5" ht="24" customHeight="1" x14ac:dyDescent="0.25">
      <c r="A20" s="6" t="s">
        <v>68</v>
      </c>
      <c r="B20" s="6"/>
      <c r="C20" s="6"/>
      <c r="D20" s="6"/>
      <c r="E20" s="6"/>
    </row>
    <row r="21" spans="1:5" ht="48" customHeight="1" x14ac:dyDescent="0.25">
      <c r="A21" s="5" t="s">
        <v>69</v>
      </c>
      <c r="B21" s="5"/>
      <c r="C21" s="5"/>
      <c r="D21" s="5"/>
      <c r="E21" s="5"/>
    </row>
    <row r="23" spans="1:5" x14ac:dyDescent="0.25">
      <c r="A23" s="21" t="s">
        <v>70</v>
      </c>
    </row>
    <row r="24" spans="1:5" x14ac:dyDescent="0.25">
      <c r="A24" s="4" t="s">
        <v>71</v>
      </c>
      <c r="B24" s="4"/>
      <c r="C24" s="4"/>
      <c r="D24" s="4"/>
      <c r="E24" s="4"/>
    </row>
    <row r="25" spans="1:5" x14ac:dyDescent="0.25">
      <c r="A25" s="4" t="s">
        <v>72</v>
      </c>
      <c r="B25" s="4"/>
      <c r="C25" s="4"/>
      <c r="D25" s="4"/>
      <c r="E25" s="4"/>
    </row>
    <row r="26" spans="1:5" x14ac:dyDescent="0.25">
      <c r="A26" s="4" t="s">
        <v>73</v>
      </c>
      <c r="B26" s="4"/>
      <c r="C26" s="4"/>
      <c r="D26" s="4"/>
      <c r="E26" s="4"/>
    </row>
    <row r="27" spans="1:5" x14ac:dyDescent="0.25">
      <c r="A27" s="4" t="s">
        <v>74</v>
      </c>
      <c r="B27" s="4"/>
      <c r="C27" s="4"/>
      <c r="D27" s="4"/>
      <c r="E27" s="4"/>
    </row>
  </sheetData>
  <mergeCells count="11">
    <mergeCell ref="A27:E27"/>
    <mergeCell ref="A20:E20"/>
    <mergeCell ref="A21:E21"/>
    <mergeCell ref="A24:E24"/>
    <mergeCell ref="A25:E25"/>
    <mergeCell ref="A26:E26"/>
    <mergeCell ref="A1:E1"/>
    <mergeCell ref="A2:E2"/>
    <mergeCell ref="A5:E5"/>
    <mergeCell ref="A10:E10"/>
    <mergeCell ref="A14:E14"/>
  </mergeCell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E19"/>
  <sheetViews>
    <sheetView zoomScaleNormal="100" workbookViewId="0">
      <pane ySplit="4" topLeftCell="A11" activePane="bottomLeft" state="frozen"/>
      <selection pane="bottomLeft" activeCell="A9" sqref="A9:E9"/>
    </sheetView>
  </sheetViews>
  <sheetFormatPr baseColWidth="10" defaultColWidth="8.7109375" defaultRowHeight="15" x14ac:dyDescent="0.25"/>
  <cols>
    <col min="1" max="1" width="28" customWidth="1"/>
    <col min="2" max="4" width="26" customWidth="1"/>
    <col min="5" max="5" width="20" customWidth="1"/>
  </cols>
  <sheetData>
    <row r="1" spans="1:5" ht="25.5" customHeight="1" x14ac:dyDescent="0.25">
      <c r="A1" s="12" t="s">
        <v>244</v>
      </c>
      <c r="B1" s="12"/>
      <c r="C1" s="12"/>
      <c r="D1" s="12"/>
      <c r="E1" s="12"/>
    </row>
    <row r="2" spans="1:5" ht="19.5" customHeight="1" x14ac:dyDescent="0.25">
      <c r="A2" s="7" t="s">
        <v>75</v>
      </c>
      <c r="B2" s="7"/>
      <c r="C2" s="7"/>
      <c r="D2" s="7"/>
      <c r="E2" s="7"/>
    </row>
    <row r="4" spans="1:5" ht="31.5" customHeight="1" x14ac:dyDescent="0.25">
      <c r="A4" s="16" t="s">
        <v>19</v>
      </c>
      <c r="B4" s="16" t="s">
        <v>76</v>
      </c>
      <c r="C4" s="16" t="s">
        <v>77</v>
      </c>
      <c r="D4" s="16" t="s">
        <v>78</v>
      </c>
      <c r="E4" s="16" t="s">
        <v>23</v>
      </c>
    </row>
    <row r="5" spans="1:5" ht="21.75" customHeight="1" x14ac:dyDescent="0.25">
      <c r="A5" s="8" t="s">
        <v>241</v>
      </c>
      <c r="B5" s="8"/>
      <c r="C5" s="8"/>
      <c r="D5" s="8"/>
      <c r="E5" s="8"/>
    </row>
    <row r="6" spans="1:5" ht="36" customHeight="1" x14ac:dyDescent="0.25">
      <c r="A6" s="17" t="s">
        <v>79</v>
      </c>
      <c r="B6" s="18" t="s">
        <v>80</v>
      </c>
      <c r="C6" s="18" t="s">
        <v>81</v>
      </c>
      <c r="D6" s="18" t="s">
        <v>82</v>
      </c>
      <c r="E6" s="19" t="s">
        <v>28</v>
      </c>
    </row>
    <row r="7" spans="1:5" ht="36" customHeight="1" x14ac:dyDescent="0.25">
      <c r="A7" s="17" t="s">
        <v>83</v>
      </c>
      <c r="B7" s="18" t="s">
        <v>84</v>
      </c>
      <c r="C7" s="18" t="s">
        <v>85</v>
      </c>
      <c r="D7" s="18" t="s">
        <v>86</v>
      </c>
      <c r="E7" s="19" t="s">
        <v>28</v>
      </c>
    </row>
    <row r="8" spans="1:5" ht="36" customHeight="1" x14ac:dyDescent="0.25">
      <c r="A8" s="17" t="s">
        <v>87</v>
      </c>
      <c r="B8" s="18" t="s">
        <v>60</v>
      </c>
      <c r="C8" s="18" t="s">
        <v>88</v>
      </c>
      <c r="D8" s="18" t="s">
        <v>60</v>
      </c>
      <c r="E8" s="19" t="s">
        <v>89</v>
      </c>
    </row>
    <row r="9" spans="1:5" ht="21.75" customHeight="1" x14ac:dyDescent="0.25">
      <c r="A9" s="8" t="s">
        <v>245</v>
      </c>
      <c r="B9" s="8"/>
      <c r="C9" s="8"/>
      <c r="D9" s="8"/>
      <c r="E9" s="8"/>
    </row>
    <row r="10" spans="1:5" ht="30" customHeight="1" x14ac:dyDescent="0.25">
      <c r="A10" s="17" t="s">
        <v>90</v>
      </c>
      <c r="B10" s="18" t="s">
        <v>91</v>
      </c>
      <c r="C10" s="18" t="s">
        <v>52</v>
      </c>
      <c r="D10" s="18" t="s">
        <v>92</v>
      </c>
      <c r="E10" s="19" t="s">
        <v>28</v>
      </c>
    </row>
    <row r="11" spans="1:5" ht="30" customHeight="1" x14ac:dyDescent="0.25">
      <c r="A11" s="17" t="s">
        <v>93</v>
      </c>
      <c r="B11" s="18" t="s">
        <v>94</v>
      </c>
      <c r="C11" s="18" t="s">
        <v>95</v>
      </c>
      <c r="D11" s="18" t="s">
        <v>96</v>
      </c>
      <c r="E11" s="19" t="s">
        <v>28</v>
      </c>
    </row>
    <row r="13" spans="1:5" ht="24" customHeight="1" x14ac:dyDescent="0.25">
      <c r="A13" s="6" t="s">
        <v>97</v>
      </c>
      <c r="B13" s="6"/>
      <c r="C13" s="6"/>
      <c r="D13" s="6"/>
      <c r="E13" s="6"/>
    </row>
    <row r="14" spans="1:5" ht="48" customHeight="1" x14ac:dyDescent="0.25">
      <c r="A14" s="5" t="s">
        <v>98</v>
      </c>
      <c r="B14" s="5"/>
      <c r="C14" s="5"/>
      <c r="D14" s="5"/>
      <c r="E14" s="5"/>
    </row>
    <row r="16" spans="1:5" x14ac:dyDescent="0.25">
      <c r="A16" s="21" t="s">
        <v>70</v>
      </c>
    </row>
    <row r="17" spans="1:5" x14ac:dyDescent="0.25">
      <c r="A17" s="4" t="s">
        <v>99</v>
      </c>
      <c r="B17" s="4"/>
      <c r="C17" s="4"/>
      <c r="D17" s="4"/>
      <c r="E17" s="4"/>
    </row>
    <row r="18" spans="1:5" x14ac:dyDescent="0.25">
      <c r="A18" s="4" t="s">
        <v>100</v>
      </c>
      <c r="B18" s="4"/>
      <c r="C18" s="4"/>
      <c r="D18" s="4"/>
      <c r="E18" s="4"/>
    </row>
    <row r="19" spans="1:5" x14ac:dyDescent="0.25">
      <c r="A19" s="4" t="s">
        <v>101</v>
      </c>
      <c r="B19" s="4"/>
      <c r="C19" s="4"/>
      <c r="D19" s="4"/>
      <c r="E19" s="4"/>
    </row>
  </sheetData>
  <mergeCells count="9">
    <mergeCell ref="A14:E14"/>
    <mergeCell ref="A17:E17"/>
    <mergeCell ref="A18:E18"/>
    <mergeCell ref="A19:E19"/>
    <mergeCell ref="A1:E1"/>
    <mergeCell ref="A2:E2"/>
    <mergeCell ref="A5:E5"/>
    <mergeCell ref="A9:E9"/>
    <mergeCell ref="A13:E13"/>
  </mergeCells>
  <pageMargins left="0.3" right="0.3" top="0.4" bottom="0.4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E15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7109375" defaultRowHeight="15" x14ac:dyDescent="0.25"/>
  <cols>
    <col min="1" max="1" width="22" customWidth="1"/>
    <col min="2" max="2" width="40" customWidth="1"/>
    <col min="3" max="3" width="38" customWidth="1"/>
    <col min="4" max="4" width="14" customWidth="1"/>
    <col min="5" max="5" width="42" customWidth="1"/>
  </cols>
  <sheetData>
    <row r="1" spans="1:5" ht="25.5" customHeight="1" x14ac:dyDescent="0.25">
      <c r="A1" s="12" t="s">
        <v>237</v>
      </c>
      <c r="B1" s="12"/>
      <c r="C1" s="12"/>
      <c r="D1" s="12"/>
      <c r="E1" s="12"/>
    </row>
    <row r="2" spans="1:5" ht="19.5" customHeight="1" x14ac:dyDescent="0.25">
      <c r="A2" s="7" t="s">
        <v>102</v>
      </c>
      <c r="B2" s="7"/>
      <c r="C2" s="7"/>
      <c r="D2" s="7"/>
      <c r="E2" s="7"/>
    </row>
    <row r="4" spans="1:5" ht="31.5" customHeight="1" x14ac:dyDescent="0.25">
      <c r="A4" s="16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</row>
    <row r="5" spans="1:5" ht="31.5" customHeight="1" x14ac:dyDescent="0.25">
      <c r="A5" s="17" t="s">
        <v>108</v>
      </c>
      <c r="B5" s="22" t="s">
        <v>109</v>
      </c>
      <c r="C5" s="18" t="s">
        <v>110</v>
      </c>
      <c r="D5" s="23" t="s">
        <v>111</v>
      </c>
      <c r="E5" s="22" t="s">
        <v>112</v>
      </c>
    </row>
    <row r="6" spans="1:5" ht="31.5" customHeight="1" x14ac:dyDescent="0.25">
      <c r="A6" s="17" t="s">
        <v>113</v>
      </c>
      <c r="B6" s="22" t="s">
        <v>114</v>
      </c>
      <c r="C6" s="18" t="s">
        <v>110</v>
      </c>
      <c r="D6" s="23" t="s">
        <v>111</v>
      </c>
      <c r="E6" s="22" t="s">
        <v>115</v>
      </c>
    </row>
    <row r="7" spans="1:5" ht="31.5" customHeight="1" x14ac:dyDescent="0.25">
      <c r="A7" s="17" t="s">
        <v>116</v>
      </c>
      <c r="B7" s="22" t="s">
        <v>117</v>
      </c>
      <c r="C7" s="18" t="s">
        <v>118</v>
      </c>
      <c r="D7" s="23" t="s">
        <v>111</v>
      </c>
      <c r="E7" s="22" t="s">
        <v>119</v>
      </c>
    </row>
    <row r="8" spans="1:5" ht="31.5" customHeight="1" x14ac:dyDescent="0.25">
      <c r="A8" s="17" t="s">
        <v>120</v>
      </c>
      <c r="B8" s="22" t="s">
        <v>121</v>
      </c>
      <c r="C8" s="18" t="s">
        <v>122</v>
      </c>
      <c r="D8" s="23" t="s">
        <v>111</v>
      </c>
      <c r="E8" s="22" t="s">
        <v>123</v>
      </c>
    </row>
    <row r="9" spans="1:5" ht="31.5" customHeight="1" x14ac:dyDescent="0.25">
      <c r="A9" s="17" t="s">
        <v>124</v>
      </c>
      <c r="B9" s="22" t="s">
        <v>125</v>
      </c>
      <c r="C9" s="18" t="s">
        <v>126</v>
      </c>
      <c r="D9" s="23" t="s">
        <v>111</v>
      </c>
      <c r="E9" s="22" t="s">
        <v>127</v>
      </c>
    </row>
    <row r="10" spans="1:5" ht="31.5" customHeight="1" x14ac:dyDescent="0.25">
      <c r="A10" s="17" t="s">
        <v>128</v>
      </c>
      <c r="B10" s="22" t="s">
        <v>129</v>
      </c>
      <c r="C10" s="18" t="s">
        <v>130</v>
      </c>
      <c r="D10" s="23" t="s">
        <v>111</v>
      </c>
      <c r="E10" s="22" t="s">
        <v>131</v>
      </c>
    </row>
    <row r="11" spans="1:5" ht="31.5" customHeight="1" x14ac:dyDescent="0.25">
      <c r="A11" s="17" t="s">
        <v>132</v>
      </c>
      <c r="B11" s="22" t="s">
        <v>133</v>
      </c>
      <c r="C11" s="18" t="s">
        <v>134</v>
      </c>
      <c r="D11" s="23" t="s">
        <v>111</v>
      </c>
      <c r="E11" s="22" t="s">
        <v>135</v>
      </c>
    </row>
    <row r="12" spans="1:5" ht="31.5" customHeight="1" x14ac:dyDescent="0.25">
      <c r="A12" s="17" t="s">
        <v>136</v>
      </c>
      <c r="B12" s="22" t="s">
        <v>137</v>
      </c>
      <c r="C12" s="18" t="s">
        <v>138</v>
      </c>
      <c r="D12" s="23" t="s">
        <v>111</v>
      </c>
      <c r="E12" s="22" t="s">
        <v>139</v>
      </c>
    </row>
    <row r="13" spans="1:5" ht="24" customHeight="1" x14ac:dyDescent="0.25">
      <c r="A13" s="3" t="s">
        <v>140</v>
      </c>
      <c r="B13" s="3"/>
      <c r="C13" s="3"/>
      <c r="D13" s="3"/>
      <c r="E13" s="3"/>
    </row>
    <row r="15" spans="1:5" ht="49.5" customHeight="1" x14ac:dyDescent="0.25">
      <c r="A15" s="5" t="s">
        <v>141</v>
      </c>
      <c r="B15" s="5"/>
      <c r="C15" s="5"/>
      <c r="D15" s="5"/>
      <c r="E15" s="5"/>
    </row>
  </sheetData>
  <mergeCells count="4">
    <mergeCell ref="A1:E1"/>
    <mergeCell ref="A2:E2"/>
    <mergeCell ref="A13:E13"/>
    <mergeCell ref="A15:E15"/>
  </mergeCells>
  <pageMargins left="0.3" right="0.3" top="0.4" bottom="0.4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E19"/>
  <sheetViews>
    <sheetView zoomScaleNormal="100" workbookViewId="0">
      <pane ySplit="4" topLeftCell="A11" activePane="bottomLeft" state="frozen"/>
      <selection pane="bottomLeft" activeCell="E13" sqref="E13"/>
    </sheetView>
  </sheetViews>
  <sheetFormatPr baseColWidth="10" defaultColWidth="8.7109375" defaultRowHeight="15" x14ac:dyDescent="0.25"/>
  <cols>
    <col min="1" max="1" width="34" customWidth="1"/>
    <col min="2" max="2" width="42" customWidth="1"/>
    <col min="3" max="3" width="12" customWidth="1"/>
    <col min="4" max="5" width="24" customWidth="1"/>
  </cols>
  <sheetData>
    <row r="1" spans="1:5" ht="25.5" customHeight="1" x14ac:dyDescent="0.25">
      <c r="A1" s="12" t="s">
        <v>238</v>
      </c>
      <c r="B1" s="12"/>
      <c r="C1" s="12"/>
      <c r="D1" s="12"/>
      <c r="E1" s="12"/>
    </row>
    <row r="2" spans="1:5" ht="19.5" customHeight="1" x14ac:dyDescent="0.25">
      <c r="A2" s="7" t="s">
        <v>142</v>
      </c>
      <c r="B2" s="7"/>
      <c r="C2" s="7"/>
      <c r="D2" s="7"/>
      <c r="E2" s="7"/>
    </row>
    <row r="3" spans="1:5" ht="33.75" customHeight="1" x14ac:dyDescent="0.25">
      <c r="A3" s="2" t="s">
        <v>143</v>
      </c>
      <c r="B3" s="2"/>
      <c r="C3" s="2"/>
      <c r="D3" s="2"/>
      <c r="E3" s="2"/>
    </row>
    <row r="4" spans="1:5" ht="31.5" customHeight="1" x14ac:dyDescent="0.25">
      <c r="A4" s="16" t="s">
        <v>144</v>
      </c>
      <c r="B4" s="16" t="s">
        <v>145</v>
      </c>
      <c r="C4" s="16" t="s">
        <v>146</v>
      </c>
      <c r="D4" s="16" t="s">
        <v>147</v>
      </c>
      <c r="E4" s="16" t="s">
        <v>148</v>
      </c>
    </row>
    <row r="5" spans="1:5" ht="21.75" customHeight="1" x14ac:dyDescent="0.25">
      <c r="A5" s="8" t="s">
        <v>246</v>
      </c>
      <c r="B5" s="8"/>
      <c r="C5" s="8"/>
      <c r="D5" s="8"/>
      <c r="E5" s="8"/>
    </row>
    <row r="6" spans="1:5" ht="39.75" customHeight="1" x14ac:dyDescent="0.25">
      <c r="A6" s="17" t="s">
        <v>149</v>
      </c>
      <c r="B6" s="22" t="s">
        <v>150</v>
      </c>
      <c r="C6" s="24">
        <v>2</v>
      </c>
      <c r="D6" s="25">
        <v>1799000</v>
      </c>
      <c r="E6" s="26">
        <f>C6*D6</f>
        <v>3598000</v>
      </c>
    </row>
    <row r="7" spans="1:5" ht="39.75" customHeight="1" x14ac:dyDescent="0.25">
      <c r="A7" s="17" t="s">
        <v>151</v>
      </c>
      <c r="B7" s="22" t="s">
        <v>152</v>
      </c>
      <c r="C7" s="24">
        <v>2</v>
      </c>
      <c r="D7" s="25">
        <v>1499000</v>
      </c>
      <c r="E7" s="26">
        <f>C7*D7</f>
        <v>2998000</v>
      </c>
    </row>
    <row r="8" spans="1:5" ht="21.75" customHeight="1" x14ac:dyDescent="0.25">
      <c r="A8" s="8" t="s">
        <v>247</v>
      </c>
      <c r="B8" s="8"/>
      <c r="C8" s="8"/>
      <c r="D8" s="8"/>
      <c r="E8" s="8"/>
    </row>
    <row r="9" spans="1:5" ht="31.5" customHeight="1" x14ac:dyDescent="0.25">
      <c r="A9" s="17" t="s">
        <v>153</v>
      </c>
      <c r="B9" s="22" t="s">
        <v>154</v>
      </c>
      <c r="C9" s="24">
        <v>2</v>
      </c>
      <c r="D9" s="25">
        <v>180000</v>
      </c>
      <c r="E9" s="26">
        <f>C9*D9</f>
        <v>360000</v>
      </c>
    </row>
    <row r="10" spans="1:5" ht="31.5" customHeight="1" x14ac:dyDescent="0.25">
      <c r="A10" s="17" t="s">
        <v>155</v>
      </c>
      <c r="B10" s="22" t="s">
        <v>156</v>
      </c>
      <c r="C10" s="24">
        <v>2</v>
      </c>
      <c r="D10" s="25">
        <v>150000</v>
      </c>
      <c r="E10" s="26">
        <f>C10*D10</f>
        <v>300000</v>
      </c>
    </row>
    <row r="11" spans="1:5" ht="21.75" customHeight="1" x14ac:dyDescent="0.25">
      <c r="A11" s="8" t="s">
        <v>248</v>
      </c>
      <c r="B11" s="8"/>
      <c r="C11" s="8"/>
      <c r="D11" s="8"/>
      <c r="E11" s="8"/>
    </row>
    <row r="12" spans="1:5" ht="31.5" customHeight="1" x14ac:dyDescent="0.25">
      <c r="A12" s="27" t="s">
        <v>157</v>
      </c>
      <c r="B12" s="28" t="s">
        <v>158</v>
      </c>
      <c r="C12" s="29" t="s">
        <v>159</v>
      </c>
      <c r="D12" s="29" t="s">
        <v>160</v>
      </c>
      <c r="E12" s="29" t="s">
        <v>161</v>
      </c>
    </row>
    <row r="13" spans="1:5" ht="24" customHeight="1" x14ac:dyDescent="0.25">
      <c r="A13" s="1" t="s">
        <v>162</v>
      </c>
      <c r="B13" s="1"/>
      <c r="C13" s="1"/>
      <c r="D13" s="1"/>
      <c r="E13" s="30">
        <f>SUM(E6:E10)</f>
        <v>7256000</v>
      </c>
    </row>
    <row r="14" spans="1:5" ht="25.5" customHeight="1" x14ac:dyDescent="0.25">
      <c r="A14" s="6" t="s">
        <v>163</v>
      </c>
      <c r="B14" s="6"/>
      <c r="C14" s="6"/>
      <c r="D14" s="6"/>
      <c r="E14" s="31" t="s">
        <v>111</v>
      </c>
    </row>
    <row r="16" spans="1:5" x14ac:dyDescent="0.25">
      <c r="A16" s="21" t="s">
        <v>70</v>
      </c>
    </row>
    <row r="17" spans="1:5" x14ac:dyDescent="0.25">
      <c r="A17" s="4" t="s">
        <v>164</v>
      </c>
      <c r="B17" s="4"/>
      <c r="C17" s="4"/>
      <c r="D17" s="4"/>
      <c r="E17" s="4"/>
    </row>
    <row r="18" spans="1:5" x14ac:dyDescent="0.25">
      <c r="A18" s="4" t="s">
        <v>165</v>
      </c>
      <c r="B18" s="4"/>
      <c r="C18" s="4"/>
      <c r="D18" s="4"/>
      <c r="E18" s="4"/>
    </row>
    <row r="19" spans="1:5" x14ac:dyDescent="0.25">
      <c r="A19" s="4" t="s">
        <v>166</v>
      </c>
      <c r="B19" s="4"/>
      <c r="C19" s="4"/>
      <c r="D19" s="4"/>
      <c r="E19" s="4"/>
    </row>
  </sheetData>
  <mergeCells count="11">
    <mergeCell ref="A19:E19"/>
    <mergeCell ref="A11:E11"/>
    <mergeCell ref="A13:D13"/>
    <mergeCell ref="A14:D14"/>
    <mergeCell ref="A17:E17"/>
    <mergeCell ref="A18:E18"/>
    <mergeCell ref="A1:E1"/>
    <mergeCell ref="A2:E2"/>
    <mergeCell ref="A3:E3"/>
    <mergeCell ref="A5:E5"/>
    <mergeCell ref="A8:E8"/>
  </mergeCells>
  <pageMargins left="0.3" right="0.3" top="0.4" bottom="0.4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B34"/>
    <pageSetUpPr fitToPage="1"/>
  </sheetPr>
  <dimension ref="A1:H45"/>
  <sheetViews>
    <sheetView tabSelected="1" zoomScaleNormal="100" workbookViewId="0">
      <pane ySplit="4" topLeftCell="A5" activePane="bottomLeft" state="frozen"/>
      <selection pane="bottomLeft" activeCell="H8" sqref="H8"/>
    </sheetView>
  </sheetViews>
  <sheetFormatPr baseColWidth="10" defaultColWidth="8.7109375" defaultRowHeight="15" x14ac:dyDescent="0.25"/>
  <cols>
    <col min="1" max="1" width="34" customWidth="1"/>
    <col min="2" max="5" width="17" customWidth="1"/>
    <col min="6" max="6" width="19" customWidth="1"/>
    <col min="7" max="7" width="17" customWidth="1"/>
    <col min="8" max="8" width="18" customWidth="1"/>
  </cols>
  <sheetData>
    <row r="1" spans="1:8" ht="25.5" customHeight="1" x14ac:dyDescent="0.25">
      <c r="A1" s="12" t="s">
        <v>239</v>
      </c>
      <c r="B1" s="12"/>
      <c r="C1" s="12"/>
      <c r="D1" s="12"/>
      <c r="E1" s="12"/>
      <c r="F1" s="12"/>
      <c r="G1" s="12"/>
      <c r="H1" s="12"/>
    </row>
    <row r="2" spans="1:8" ht="19.5" customHeight="1" x14ac:dyDescent="0.25">
      <c r="A2" s="7" t="s">
        <v>167</v>
      </c>
      <c r="B2" s="7"/>
      <c r="C2" s="7"/>
      <c r="D2" s="7"/>
      <c r="E2" s="7"/>
      <c r="F2" s="7"/>
      <c r="G2" s="7"/>
      <c r="H2" s="7"/>
    </row>
    <row r="4" spans="1:8" ht="21.75" customHeight="1" x14ac:dyDescent="0.25">
      <c r="A4" s="8" t="s">
        <v>249</v>
      </c>
      <c r="B4" s="8"/>
      <c r="C4" s="8"/>
      <c r="D4" s="8"/>
      <c r="E4" s="8"/>
      <c r="F4" s="8"/>
      <c r="G4" s="8"/>
      <c r="H4" s="8"/>
    </row>
    <row r="5" spans="1:8" ht="31.5" customHeight="1" x14ac:dyDescent="0.25">
      <c r="A5" s="16" t="s">
        <v>168</v>
      </c>
      <c r="B5" s="55" t="s">
        <v>169</v>
      </c>
      <c r="C5" s="55"/>
      <c r="D5" s="55"/>
      <c r="E5" s="55"/>
      <c r="F5" s="55"/>
      <c r="G5" s="55"/>
      <c r="H5" s="16" t="s">
        <v>170</v>
      </c>
    </row>
    <row r="6" spans="1:8" ht="31.5" customHeight="1" x14ac:dyDescent="0.25">
      <c r="A6" s="17" t="s">
        <v>171</v>
      </c>
      <c r="B6" s="32">
        <v>4</v>
      </c>
      <c r="C6" s="56"/>
      <c r="D6" s="56"/>
      <c r="E6" s="56"/>
      <c r="F6" s="56"/>
      <c r="G6" s="56"/>
      <c r="H6" s="33" t="s">
        <v>172</v>
      </c>
    </row>
    <row r="7" spans="1:8" ht="31.5" customHeight="1" x14ac:dyDescent="0.25">
      <c r="A7" s="17" t="s">
        <v>173</v>
      </c>
      <c r="B7" s="32">
        <v>10</v>
      </c>
      <c r="C7" s="56"/>
      <c r="D7" s="56"/>
      <c r="E7" s="56"/>
      <c r="F7" s="56"/>
      <c r="G7" s="56"/>
      <c r="H7" s="33" t="s">
        <v>174</v>
      </c>
    </row>
    <row r="8" spans="1:8" ht="31.5" customHeight="1" x14ac:dyDescent="0.25">
      <c r="A8" s="17" t="s">
        <v>175</v>
      </c>
      <c r="B8" s="32">
        <v>2</v>
      </c>
      <c r="C8" s="56"/>
      <c r="D8" s="56"/>
      <c r="E8" s="56"/>
      <c r="F8" s="56"/>
      <c r="G8" s="56"/>
      <c r="H8" s="33" t="s">
        <v>176</v>
      </c>
    </row>
    <row r="9" spans="1:8" ht="31.5" customHeight="1" x14ac:dyDescent="0.25">
      <c r="A9" s="17" t="s">
        <v>177</v>
      </c>
      <c r="B9" s="32">
        <v>4</v>
      </c>
      <c r="C9" s="56"/>
      <c r="D9" s="56"/>
      <c r="E9" s="56"/>
      <c r="F9" s="56"/>
      <c r="G9" s="56"/>
      <c r="H9" s="33" t="s">
        <v>178</v>
      </c>
    </row>
    <row r="10" spans="1:8" ht="31.5" customHeight="1" x14ac:dyDescent="0.25">
      <c r="A10" s="17" t="s">
        <v>179</v>
      </c>
      <c r="B10" s="32">
        <v>4.33</v>
      </c>
      <c r="C10" s="56"/>
      <c r="D10" s="56"/>
      <c r="E10" s="56"/>
      <c r="F10" s="56"/>
      <c r="G10" s="56"/>
      <c r="H10" s="33" t="s">
        <v>180</v>
      </c>
    </row>
    <row r="11" spans="1:8" ht="31.5" customHeight="1" x14ac:dyDescent="0.25">
      <c r="A11" s="17" t="s">
        <v>181</v>
      </c>
      <c r="B11" s="34">
        <v>4980</v>
      </c>
      <c r="C11" s="56"/>
      <c r="D11" s="56"/>
      <c r="E11" s="56"/>
      <c r="F11" s="56"/>
      <c r="G11" s="56"/>
      <c r="H11" s="33" t="s">
        <v>182</v>
      </c>
    </row>
    <row r="13" spans="1:8" ht="21.75" customHeight="1" x14ac:dyDescent="0.25">
      <c r="A13" s="8" t="s">
        <v>183</v>
      </c>
      <c r="B13" s="8"/>
      <c r="C13" s="8"/>
      <c r="D13" s="8"/>
      <c r="E13" s="8"/>
      <c r="F13" s="8"/>
      <c r="G13" s="8"/>
      <c r="H13" s="8"/>
    </row>
    <row r="14" spans="1:8" ht="31.5" customHeight="1" x14ac:dyDescent="0.25">
      <c r="A14" s="16" t="s">
        <v>184</v>
      </c>
      <c r="B14" s="55" t="s">
        <v>185</v>
      </c>
      <c r="C14" s="55"/>
      <c r="D14" s="55"/>
      <c r="E14" s="55"/>
      <c r="F14" s="55"/>
      <c r="G14" s="55"/>
      <c r="H14" s="16" t="s">
        <v>186</v>
      </c>
    </row>
    <row r="15" spans="1:8" ht="30" customHeight="1" x14ac:dyDescent="0.25">
      <c r="A15" s="35" t="s">
        <v>187</v>
      </c>
      <c r="B15" s="57" t="s">
        <v>188</v>
      </c>
      <c r="C15" s="57"/>
      <c r="D15" s="57"/>
      <c r="E15" s="57"/>
      <c r="F15" s="57"/>
      <c r="G15" s="57"/>
      <c r="H15" s="36">
        <f>B8*B9</f>
        <v>8</v>
      </c>
    </row>
    <row r="16" spans="1:8" ht="30" customHeight="1" x14ac:dyDescent="0.25">
      <c r="A16" s="35" t="s">
        <v>189</v>
      </c>
      <c r="B16" s="57" t="s">
        <v>190</v>
      </c>
      <c r="C16" s="57"/>
      <c r="D16" s="57"/>
      <c r="E16" s="57"/>
      <c r="F16" s="57"/>
      <c r="G16" s="57"/>
      <c r="H16" s="37">
        <f>ROUND(B7*B10,0)</f>
        <v>43</v>
      </c>
    </row>
    <row r="17" spans="1:8" ht="30" customHeight="1" x14ac:dyDescent="0.25">
      <c r="A17" s="35" t="s">
        <v>191</v>
      </c>
      <c r="B17" s="57" t="s">
        <v>192</v>
      </c>
      <c r="C17" s="57"/>
      <c r="D17" s="57"/>
      <c r="E17" s="57"/>
      <c r="F17" s="57"/>
      <c r="G17" s="57"/>
      <c r="H17" s="37">
        <f>H15*H16</f>
        <v>344</v>
      </c>
    </row>
    <row r="18" spans="1:8" ht="30" customHeight="1" x14ac:dyDescent="0.25">
      <c r="A18" s="35" t="s">
        <v>193</v>
      </c>
      <c r="B18" s="57" t="s">
        <v>194</v>
      </c>
      <c r="C18" s="57"/>
      <c r="D18" s="57"/>
      <c r="E18" s="57"/>
      <c r="F18" s="57"/>
      <c r="G18" s="57"/>
      <c r="H18" s="37">
        <f>H17*B6</f>
        <v>1376</v>
      </c>
    </row>
    <row r="19" spans="1:8" ht="30" customHeight="1" x14ac:dyDescent="0.25">
      <c r="A19" s="35" t="s">
        <v>195</v>
      </c>
      <c r="B19" s="57" t="s">
        <v>196</v>
      </c>
      <c r="C19" s="57"/>
      <c r="D19" s="57"/>
      <c r="E19" s="57"/>
      <c r="F19" s="57"/>
      <c r="G19" s="57"/>
      <c r="H19" s="38">
        <f>H17*B11</f>
        <v>1713120</v>
      </c>
    </row>
    <row r="20" spans="1:8" ht="30" customHeight="1" x14ac:dyDescent="0.25">
      <c r="A20" s="35" t="s">
        <v>197</v>
      </c>
      <c r="B20" s="57" t="s">
        <v>198</v>
      </c>
      <c r="C20" s="57"/>
      <c r="D20" s="57"/>
      <c r="E20" s="57"/>
      <c r="F20" s="57"/>
      <c r="G20" s="57"/>
      <c r="H20" s="39">
        <f>H19*B6</f>
        <v>6852480</v>
      </c>
    </row>
    <row r="22" spans="1:8" ht="21.75" customHeight="1" x14ac:dyDescent="0.25">
      <c r="A22" s="8" t="s">
        <v>199</v>
      </c>
      <c r="B22" s="8"/>
      <c r="C22" s="8"/>
      <c r="D22" s="8"/>
      <c r="E22" s="8"/>
      <c r="F22" s="8"/>
      <c r="G22" s="8"/>
      <c r="H22" s="8"/>
    </row>
    <row r="23" spans="1:8" ht="31.5" customHeight="1" x14ac:dyDescent="0.25">
      <c r="A23" s="16" t="s">
        <v>200</v>
      </c>
      <c r="B23" s="55" t="s">
        <v>201</v>
      </c>
      <c r="C23" s="55"/>
      <c r="D23" s="16" t="s">
        <v>202</v>
      </c>
      <c r="E23" s="16" t="s">
        <v>203</v>
      </c>
      <c r="F23" s="55" t="s">
        <v>204</v>
      </c>
      <c r="G23" s="55"/>
      <c r="H23" s="16" t="s">
        <v>205</v>
      </c>
    </row>
    <row r="24" spans="1:8" ht="24" customHeight="1" x14ac:dyDescent="0.25">
      <c r="A24" s="40" t="s">
        <v>206</v>
      </c>
      <c r="B24" s="58" t="s">
        <v>207</v>
      </c>
      <c r="C24" s="58"/>
      <c r="D24" s="41">
        <f>H15</f>
        <v>8</v>
      </c>
      <c r="E24" s="42">
        <f>H17</f>
        <v>344</v>
      </c>
      <c r="F24" s="59">
        <f>B11</f>
        <v>4980</v>
      </c>
      <c r="G24" s="59"/>
      <c r="H24" s="44">
        <f>E24*F24</f>
        <v>1713120</v>
      </c>
    </row>
    <row r="25" spans="1:8" ht="24" customHeight="1" x14ac:dyDescent="0.25">
      <c r="A25" s="40" t="s">
        <v>208</v>
      </c>
      <c r="B25" s="58" t="s">
        <v>209</v>
      </c>
      <c r="C25" s="58"/>
      <c r="D25" s="41">
        <f>H15</f>
        <v>8</v>
      </c>
      <c r="E25" s="42">
        <f>H17</f>
        <v>344</v>
      </c>
      <c r="F25" s="59">
        <f>B11</f>
        <v>4980</v>
      </c>
      <c r="G25" s="59"/>
      <c r="H25" s="44">
        <f>E25*F25</f>
        <v>1713120</v>
      </c>
    </row>
    <row r="26" spans="1:8" ht="24" customHeight="1" x14ac:dyDescent="0.25">
      <c r="A26" s="40" t="s">
        <v>210</v>
      </c>
      <c r="B26" s="58" t="s">
        <v>211</v>
      </c>
      <c r="C26" s="58"/>
      <c r="D26" s="41">
        <f>H15</f>
        <v>8</v>
      </c>
      <c r="E26" s="42">
        <f>H17</f>
        <v>344</v>
      </c>
      <c r="F26" s="59">
        <f>B11</f>
        <v>4980</v>
      </c>
      <c r="G26" s="59"/>
      <c r="H26" s="44">
        <f>E26*F26</f>
        <v>1713120</v>
      </c>
    </row>
    <row r="27" spans="1:8" ht="24" customHeight="1" x14ac:dyDescent="0.25">
      <c r="A27" s="40" t="s">
        <v>212</v>
      </c>
      <c r="B27" s="58" t="s">
        <v>213</v>
      </c>
      <c r="C27" s="58"/>
      <c r="D27" s="41">
        <f>H15</f>
        <v>8</v>
      </c>
      <c r="E27" s="42">
        <f>H17</f>
        <v>344</v>
      </c>
      <c r="F27" s="59">
        <f>B11</f>
        <v>4980</v>
      </c>
      <c r="G27" s="59"/>
      <c r="H27" s="44">
        <f>E27*F27</f>
        <v>1713120</v>
      </c>
    </row>
    <row r="28" spans="1:8" ht="24" customHeight="1" x14ac:dyDescent="0.25">
      <c r="A28" s="45" t="s">
        <v>214</v>
      </c>
      <c r="B28" s="60" t="s">
        <v>215</v>
      </c>
      <c r="C28" s="60"/>
      <c r="D28" s="46">
        <f>SUM(D24:D27)</f>
        <v>32</v>
      </c>
      <c r="E28" s="47">
        <f>SUM(E24:E27)</f>
        <v>1376</v>
      </c>
      <c r="F28" s="61">
        <f>B11</f>
        <v>4980</v>
      </c>
      <c r="G28" s="61"/>
      <c r="H28" s="48">
        <f>SUM(H24:H27)</f>
        <v>6852480</v>
      </c>
    </row>
    <row r="30" spans="1:8" ht="21.75" customHeight="1" x14ac:dyDescent="0.25">
      <c r="A30" s="8" t="s">
        <v>250</v>
      </c>
      <c r="B30" s="8"/>
      <c r="C30" s="8"/>
      <c r="D30" s="8"/>
      <c r="E30" s="8"/>
      <c r="F30" s="8"/>
      <c r="G30" s="8"/>
      <c r="H30" s="8"/>
    </row>
    <row r="31" spans="1:8" ht="31.5" customHeight="1" x14ac:dyDescent="0.25">
      <c r="A31" s="16" t="s">
        <v>216</v>
      </c>
      <c r="B31" s="55" t="s">
        <v>217</v>
      </c>
      <c r="C31" s="55"/>
      <c r="D31" s="55"/>
      <c r="E31" s="55"/>
      <c r="F31" s="55"/>
      <c r="G31" s="55"/>
      <c r="H31" s="16" t="s">
        <v>218</v>
      </c>
    </row>
    <row r="32" spans="1:8" ht="33.75" customHeight="1" x14ac:dyDescent="0.25">
      <c r="A32" s="17" t="s">
        <v>219</v>
      </c>
      <c r="B32" s="62" t="s">
        <v>220</v>
      </c>
      <c r="C32" s="62"/>
      <c r="D32" s="62"/>
      <c r="E32" s="62"/>
      <c r="F32" s="62"/>
      <c r="G32" s="62"/>
      <c r="H32" s="43">
        <f>H28</f>
        <v>6852480</v>
      </c>
    </row>
    <row r="33" spans="1:8" ht="33.75" customHeight="1" x14ac:dyDescent="0.25">
      <c r="A33" s="17" t="s">
        <v>221</v>
      </c>
      <c r="B33" s="62" t="s">
        <v>222</v>
      </c>
      <c r="C33" s="62"/>
      <c r="D33" s="62"/>
      <c r="E33" s="62"/>
      <c r="F33" s="62"/>
      <c r="G33" s="62"/>
      <c r="H33" s="34">
        <v>427200</v>
      </c>
    </row>
    <row r="34" spans="1:8" ht="33.75" customHeight="1" x14ac:dyDescent="0.25">
      <c r="A34" s="17" t="s">
        <v>223</v>
      </c>
      <c r="B34" s="62" t="s">
        <v>224</v>
      </c>
      <c r="C34" s="62"/>
      <c r="D34" s="62"/>
      <c r="E34" s="62"/>
      <c r="F34" s="62"/>
      <c r="G34" s="62"/>
      <c r="H34" s="34">
        <v>550000</v>
      </c>
    </row>
    <row r="35" spans="1:8" ht="33.75" customHeight="1" x14ac:dyDescent="0.25">
      <c r="A35" s="17" t="s">
        <v>225</v>
      </c>
      <c r="B35" s="62" t="s">
        <v>226</v>
      </c>
      <c r="C35" s="62"/>
      <c r="D35" s="62"/>
      <c r="E35" s="62"/>
      <c r="F35" s="62"/>
      <c r="G35" s="62"/>
      <c r="H35" s="49">
        <v>0</v>
      </c>
    </row>
    <row r="36" spans="1:8" ht="33.75" customHeight="1" x14ac:dyDescent="0.25">
      <c r="A36" s="17" t="s">
        <v>227</v>
      </c>
      <c r="B36" s="62" t="s">
        <v>228</v>
      </c>
      <c r="C36" s="62"/>
      <c r="D36" s="62"/>
      <c r="E36" s="62"/>
      <c r="F36" s="62"/>
      <c r="G36" s="62"/>
      <c r="H36" s="49">
        <v>0</v>
      </c>
    </row>
    <row r="37" spans="1:8" ht="30" customHeight="1" x14ac:dyDescent="0.25">
      <c r="A37" s="50" t="s">
        <v>229</v>
      </c>
      <c r="B37" s="63" t="s">
        <v>230</v>
      </c>
      <c r="C37" s="63"/>
      <c r="D37" s="63"/>
      <c r="E37" s="63"/>
      <c r="F37" s="63"/>
      <c r="G37" s="63"/>
      <c r="H37" s="51">
        <f>H32+H33+H34+H35+H36</f>
        <v>7829680</v>
      </c>
    </row>
    <row r="38" spans="1:8" ht="30" customHeight="1" x14ac:dyDescent="0.25">
      <c r="A38" s="17" t="s">
        <v>231</v>
      </c>
      <c r="B38" s="62" t="s">
        <v>232</v>
      </c>
      <c r="C38" s="62"/>
      <c r="D38" s="62"/>
      <c r="E38" s="62"/>
      <c r="F38" s="62"/>
      <c r="G38" s="62"/>
      <c r="H38" s="43">
        <f>H37*0.05</f>
        <v>391484</v>
      </c>
    </row>
    <row r="39" spans="1:8" ht="36" customHeight="1" x14ac:dyDescent="0.25">
      <c r="A39" s="52" t="s">
        <v>233</v>
      </c>
      <c r="B39" s="64" t="s">
        <v>234</v>
      </c>
      <c r="C39" s="64"/>
      <c r="D39" s="64"/>
      <c r="E39" s="64"/>
      <c r="F39" s="64"/>
      <c r="G39" s="64"/>
      <c r="H39" s="53">
        <f>H37+H38</f>
        <v>8221164</v>
      </c>
    </row>
    <row r="41" spans="1:8" ht="21.75" customHeight="1" x14ac:dyDescent="0.25">
      <c r="A41" s="8" t="s">
        <v>251</v>
      </c>
      <c r="B41" s="8"/>
      <c r="C41" s="8"/>
      <c r="D41" s="8"/>
      <c r="E41" s="8"/>
      <c r="F41" s="8"/>
      <c r="G41" s="8"/>
      <c r="H41" s="8"/>
    </row>
    <row r="42" spans="1:8" ht="31.5" customHeight="1" x14ac:dyDescent="0.25">
      <c r="A42" s="55" t="s">
        <v>235</v>
      </c>
      <c r="B42" s="55"/>
      <c r="C42" s="55"/>
      <c r="D42" s="55"/>
      <c r="E42" s="55"/>
      <c r="F42" s="55"/>
      <c r="G42" s="55"/>
      <c r="H42" s="16" t="s">
        <v>236</v>
      </c>
    </row>
    <row r="43" spans="1:8" ht="19.5" customHeight="1" x14ac:dyDescent="0.25">
      <c r="A43" s="65" t="s">
        <v>219</v>
      </c>
      <c r="B43" s="65"/>
      <c r="C43" s="65"/>
      <c r="D43" s="65"/>
      <c r="E43" s="65"/>
      <c r="F43" s="65"/>
      <c r="G43" s="65"/>
      <c r="H43" s="54">
        <f>H32/H37</f>
        <v>0.8751928559021569</v>
      </c>
    </row>
    <row r="44" spans="1:8" ht="19.5" customHeight="1" x14ac:dyDescent="0.25">
      <c r="A44" s="65" t="s">
        <v>221</v>
      </c>
      <c r="B44" s="65"/>
      <c r="C44" s="65"/>
      <c r="D44" s="65"/>
      <c r="E44" s="65"/>
      <c r="F44" s="65"/>
      <c r="G44" s="65"/>
      <c r="H44" s="54">
        <f>H33/H37</f>
        <v>5.4561616822143437E-2</v>
      </c>
    </row>
    <row r="45" spans="1:8" ht="19.5" customHeight="1" x14ac:dyDescent="0.25">
      <c r="A45" s="65" t="s">
        <v>223</v>
      </c>
      <c r="B45" s="65"/>
      <c r="C45" s="65"/>
      <c r="D45" s="65"/>
      <c r="E45" s="65"/>
      <c r="F45" s="65"/>
      <c r="G45" s="65"/>
      <c r="H45" s="54">
        <f>H34/H37</f>
        <v>7.0245527275699646E-2</v>
      </c>
    </row>
  </sheetData>
  <mergeCells count="46">
    <mergeCell ref="A42:G42"/>
    <mergeCell ref="A43:G43"/>
    <mergeCell ref="A44:G44"/>
    <mergeCell ref="A45:G45"/>
    <mergeCell ref="B36:G36"/>
    <mergeCell ref="B37:G37"/>
    <mergeCell ref="B38:G38"/>
    <mergeCell ref="B39:G39"/>
    <mergeCell ref="A41:H41"/>
    <mergeCell ref="B31:G31"/>
    <mergeCell ref="B32:G32"/>
    <mergeCell ref="B33:G33"/>
    <mergeCell ref="B34:G34"/>
    <mergeCell ref="B35:G35"/>
    <mergeCell ref="B27:C27"/>
    <mergeCell ref="F27:G27"/>
    <mergeCell ref="B28:C28"/>
    <mergeCell ref="F28:G28"/>
    <mergeCell ref="A30:H30"/>
    <mergeCell ref="B24:C24"/>
    <mergeCell ref="F24:G24"/>
    <mergeCell ref="B25:C25"/>
    <mergeCell ref="F25:G25"/>
    <mergeCell ref="B26:C26"/>
    <mergeCell ref="F26:G26"/>
    <mergeCell ref="B18:G18"/>
    <mergeCell ref="B19:G19"/>
    <mergeCell ref="B20:G20"/>
    <mergeCell ref="A22:H22"/>
    <mergeCell ref="B23:C23"/>
    <mergeCell ref="F23:G23"/>
    <mergeCell ref="A13:H13"/>
    <mergeCell ref="B14:G14"/>
    <mergeCell ref="B15:G15"/>
    <mergeCell ref="B16:G16"/>
    <mergeCell ref="B17:G17"/>
    <mergeCell ref="C7:G7"/>
    <mergeCell ref="C8:G8"/>
    <mergeCell ref="C9:G9"/>
    <mergeCell ref="C10:G10"/>
    <mergeCell ref="C11:G11"/>
    <mergeCell ref="A1:H1"/>
    <mergeCell ref="A2:H2"/>
    <mergeCell ref="A4:H4"/>
    <mergeCell ref="B5:G5"/>
    <mergeCell ref="C6:G6"/>
  </mergeCells>
  <pageMargins left="0.3" right="0.3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1. Comparativo Hosting</vt:lpstr>
      <vt:lpstr>2. Comparativo Dominio</vt:lpstr>
      <vt:lpstr>3. Ficha Tecnica Software</vt:lpstr>
      <vt:lpstr>4. Ficha Tecnica Hardware</vt:lpstr>
      <vt:lpstr>5. Resumen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lopezaragonkevinduvan@gmail.com;Jannys limas;Sebastian parra;Jose aristizabal</dc:creator>
  <dc:description/>
  <cp:lastModifiedBy>tout à toi</cp:lastModifiedBy>
  <cp:revision>0</cp:revision>
  <dcterms:created xsi:type="dcterms:W3CDTF">2026-06-22T22:41:11Z</dcterms:created>
  <dcterms:modified xsi:type="dcterms:W3CDTF">2026-06-22T22:48:37Z</dcterms:modified>
  <dc:language>en-US</dc:language>
</cp:coreProperties>
</file>